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606"/>
  <workbookPr/>
  <mc:AlternateContent xmlns:mc="http://schemas.openxmlformats.org/markup-compatibility/2006">
    <mc:Choice Requires="x15">
      <x15ac:absPath xmlns:x15ac="http://schemas.microsoft.com/office/spreadsheetml/2010/11/ac" url="/Users/eogasawara/Dropbox/Alunos/Alice Sternberg (Mes)/APRIORI/"/>
    </mc:Choice>
  </mc:AlternateContent>
  <bookViews>
    <workbookView minimized="1" xWindow="0" yWindow="460" windowWidth="28800" windowHeight="16420"/>
  </bookViews>
  <sheets>
    <sheet name="Plan1 (2)" sheetId="5" r:id="rId1"/>
    <sheet name="Plan1" sheetId="1" r:id="rId2"/>
    <sheet name="Plan2" sheetId="2" r:id="rId3"/>
    <sheet name="Plan3" sheetId="3" r:id="rId4"/>
    <sheet name="Plan4" sheetId="4" r:id="rId5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5" l="1"/>
  <c r="C10" i="5"/>
  <c r="B13" i="5"/>
  <c r="C13" i="5"/>
  <c r="B12" i="5"/>
  <c r="C12" i="5"/>
  <c r="B11" i="5"/>
  <c r="C11" i="5"/>
  <c r="B9" i="5"/>
  <c r="C9" i="5"/>
  <c r="B8" i="5"/>
  <c r="C8" i="5"/>
  <c r="B11" i="1"/>
  <c r="C11" i="1"/>
  <c r="B12" i="1"/>
  <c r="C12" i="1"/>
  <c r="B10" i="1"/>
  <c r="B9" i="1"/>
  <c r="C9" i="1"/>
  <c r="C10" i="1"/>
  <c r="B8" i="1"/>
  <c r="C8" i="1"/>
</calcChain>
</file>

<file path=xl/sharedStrings.xml><?xml version="1.0" encoding="utf-8"?>
<sst xmlns="http://schemas.openxmlformats.org/spreadsheetml/2006/main" count="20" uniqueCount="6">
  <si>
    <t>Registros</t>
  </si>
  <si>
    <t>anos</t>
  </si>
  <si>
    <t>Suporte</t>
  </si>
  <si>
    <t>N° de atributos por conjunto</t>
  </si>
  <si>
    <t>regras</t>
  </si>
  <si>
    <t>lift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</si>
</sst>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&quot;-&quot;??\ _€_-;_-@_-"/>
    <numFmt numFmtId="165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4</a:t>
            </a:r>
            <a:r>
              <a:rPr lang="fr-FR" baseline="0"/>
              <a:t> atributos por regra</a:t>
            </a:r>
            <a:endParaRPr lang="fr-FR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4"/>
          <c:w val="0.797053149606299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219055412465965"/>
                  <c:y val="-0.724714566929134"/>
                </c:manualLayout>
              </c:layout>
              <c:numFmt formatCode="General" sourceLinked="0"/>
            </c:trendlineLbl>
          </c:trendline>
          <c:xVal>
            <c:numRef>
              <c:f>'Plan1 (2)'!$A$8:$A$13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8.0</c:v>
                </c:pt>
                <c:pt idx="5">
                  <c:v>16.0</c:v>
                </c:pt>
              </c:numCache>
            </c:numRef>
          </c:xVal>
          <c:yVal>
            <c:numRef>
              <c:f>'Plan1 (2)'!$H$8:$H$13</c:f>
              <c:numCache>
                <c:formatCode>#,##0</c:formatCode>
                <c:ptCount val="6"/>
                <c:pt idx="0">
                  <c:v>302768.0</c:v>
                </c:pt>
                <c:pt idx="1">
                  <c:v>181697.0</c:v>
                </c:pt>
                <c:pt idx="2">
                  <c:v>121985.0</c:v>
                </c:pt>
                <c:pt idx="3">
                  <c:v>87149.0</c:v>
                </c:pt>
                <c:pt idx="4">
                  <c:v>33104.0</c:v>
                </c:pt>
                <c:pt idx="5">
                  <c:v>10133.0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9133392"/>
        <c:axId val="-2099130688"/>
      </c:scatterChart>
      <c:valAx>
        <c:axId val="-209913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9130688"/>
        <c:crosses val="autoZero"/>
        <c:crossBetween val="midCat"/>
      </c:valAx>
      <c:valAx>
        <c:axId val="-20991306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99133392"/>
        <c:crosses val="autoZero"/>
        <c:crossBetween val="midCat"/>
        <c:dispUnits>
          <c:builtInUnit val="thousand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" footer="0.3149606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aseline="0"/>
              <a:t>3 atributos por regra</a:t>
            </a:r>
            <a:endParaRPr lang="fr-FR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4"/>
          <c:w val="0.797053149606298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1961606201094"/>
                  <c:y val="-0.536907626130067"/>
                </c:manualLayout>
              </c:layout>
              <c:numFmt formatCode="General" sourceLinked="0"/>
            </c:trendlineLbl>
          </c:trendline>
          <c:xVal>
            <c:numRef>
              <c:f>'Plan1 (2)'!$A$8:$A$13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8.0</c:v>
                </c:pt>
                <c:pt idx="5">
                  <c:v>16.0</c:v>
                </c:pt>
              </c:numCache>
            </c:numRef>
          </c:xVal>
          <c:yVal>
            <c:numRef>
              <c:f>'Plan1 (2)'!$F$8:$F$13</c:f>
              <c:numCache>
                <c:formatCode>#,##0</c:formatCode>
                <c:ptCount val="6"/>
                <c:pt idx="0">
                  <c:v>13281.0</c:v>
                </c:pt>
                <c:pt idx="1">
                  <c:v>11837.0</c:v>
                </c:pt>
                <c:pt idx="2">
                  <c:v>10604.0</c:v>
                </c:pt>
                <c:pt idx="3">
                  <c:v>9495.0</c:v>
                </c:pt>
                <c:pt idx="4">
                  <c:v>6012.0</c:v>
                </c:pt>
                <c:pt idx="5">
                  <c:v>3151.0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595824"/>
        <c:axId val="-2088593088"/>
      </c:scatterChart>
      <c:valAx>
        <c:axId val="-208859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593088"/>
        <c:crosses val="autoZero"/>
        <c:crossBetween val="midCat"/>
      </c:valAx>
      <c:valAx>
        <c:axId val="-2088593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88595824"/>
        <c:crosses val="autoZero"/>
        <c:crossBetween val="midCat"/>
        <c:dispUnits>
          <c:builtInUnit val="thousand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" footer="0.3149606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aseline="0"/>
              <a:t>2 atributos por regra</a:t>
            </a:r>
            <a:endParaRPr lang="fr-FR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5"/>
          <c:w val="0.797053149606298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0.21961606201094"/>
                  <c:y val="-0.536907626130067"/>
                </c:manualLayout>
              </c:layout>
              <c:numFmt formatCode="General" sourceLinked="0"/>
            </c:trendlineLbl>
          </c:trendline>
          <c:xVal>
            <c:numRef>
              <c:f>'Plan1 (2)'!$A$8:$A$13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8.0</c:v>
                </c:pt>
                <c:pt idx="5">
                  <c:v>16.0</c:v>
                </c:pt>
              </c:numCache>
            </c:numRef>
          </c:xVal>
          <c:yVal>
            <c:numRef>
              <c:f>'Plan1 (2)'!$D$8:$D$13</c:f>
              <c:numCache>
                <c:formatCode>#,##0</c:formatCode>
                <c:ptCount val="6"/>
                <c:pt idx="0">
                  <c:v>206.0</c:v>
                </c:pt>
                <c:pt idx="1">
                  <c:v>196.0</c:v>
                </c:pt>
                <c:pt idx="2">
                  <c:v>196.0</c:v>
                </c:pt>
                <c:pt idx="3">
                  <c:v>196.0</c:v>
                </c:pt>
                <c:pt idx="4">
                  <c:v>190.0</c:v>
                </c:pt>
                <c:pt idx="5">
                  <c:v>178.0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561728"/>
        <c:axId val="-2088558960"/>
      </c:scatterChart>
      <c:valAx>
        <c:axId val="-208856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558960"/>
        <c:crosses val="autoZero"/>
        <c:crossBetween val="midCat"/>
      </c:valAx>
      <c:valAx>
        <c:axId val="-2088558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88561728"/>
        <c:crosses val="autoZero"/>
        <c:crossBetween val="midCat"/>
        <c:dispUnits>
          <c:builtInUnit val="thousand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0000001" footer="0.31496062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4</a:t>
            </a:r>
            <a:r>
              <a:rPr lang="fr-FR" baseline="0"/>
              <a:t> atributos por regra</a:t>
            </a:r>
            <a:endParaRPr lang="fr-FR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4"/>
          <c:w val="0.797053149606299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219055412465965"/>
                  <c:y val="-0.724714566929134"/>
                </c:manualLayout>
              </c:layout>
              <c:numFmt formatCode="General" sourceLinked="0"/>
            </c:trendlineLbl>
          </c:trendline>
          <c:xVal>
            <c:numRef>
              <c:f>Plan1!$A$8:$A$12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4.0</c:v>
                </c:pt>
                <c:pt idx="3">
                  <c:v>8.0</c:v>
                </c:pt>
                <c:pt idx="4">
                  <c:v>16.0</c:v>
                </c:pt>
              </c:numCache>
            </c:numRef>
          </c:xVal>
          <c:yVal>
            <c:numRef>
              <c:f>Plan1!$H$8:$H$12</c:f>
              <c:numCache>
                <c:formatCode>#,##0</c:formatCode>
                <c:ptCount val="5"/>
                <c:pt idx="0">
                  <c:v>302768.0</c:v>
                </c:pt>
                <c:pt idx="1">
                  <c:v>181697.0</c:v>
                </c:pt>
                <c:pt idx="2">
                  <c:v>87149.0</c:v>
                </c:pt>
                <c:pt idx="3">
                  <c:v>33104.0</c:v>
                </c:pt>
                <c:pt idx="4">
                  <c:v>10133.0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518672"/>
        <c:axId val="-2088515952"/>
      </c:scatterChart>
      <c:valAx>
        <c:axId val="-208851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515952"/>
        <c:crosses val="autoZero"/>
        <c:crossBetween val="midCat"/>
      </c:valAx>
      <c:valAx>
        <c:axId val="-2088515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88518672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" footer="0.3149606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aseline="0"/>
              <a:t>3 atributos por regra</a:t>
            </a:r>
            <a:endParaRPr lang="fr-FR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4"/>
          <c:w val="0.797053149606299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1961606201094"/>
                  <c:y val="-0.536907626130067"/>
                </c:manualLayout>
              </c:layout>
              <c:numFmt formatCode="General" sourceLinked="0"/>
            </c:trendlineLbl>
          </c:trendline>
          <c:xVal>
            <c:numRef>
              <c:f>Plan1!$A$8:$A$12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4.0</c:v>
                </c:pt>
                <c:pt idx="3">
                  <c:v>8.0</c:v>
                </c:pt>
                <c:pt idx="4">
                  <c:v>16.0</c:v>
                </c:pt>
              </c:numCache>
            </c:numRef>
          </c:xVal>
          <c:yVal>
            <c:numRef>
              <c:f>Plan1!$F$8:$F$12</c:f>
              <c:numCache>
                <c:formatCode>#,##0</c:formatCode>
                <c:ptCount val="5"/>
                <c:pt idx="0">
                  <c:v>13281.0</c:v>
                </c:pt>
                <c:pt idx="1">
                  <c:v>11837.0</c:v>
                </c:pt>
                <c:pt idx="2">
                  <c:v>9495.0</c:v>
                </c:pt>
                <c:pt idx="3">
                  <c:v>6012.0</c:v>
                </c:pt>
                <c:pt idx="4">
                  <c:v>3151.0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484752"/>
        <c:axId val="-2088482032"/>
      </c:scatterChart>
      <c:valAx>
        <c:axId val="-208848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482032"/>
        <c:crosses val="autoZero"/>
        <c:crossBetween val="midCat"/>
      </c:valAx>
      <c:valAx>
        <c:axId val="-20884820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88484752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" footer="0.3149606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aseline="0"/>
              <a:t>2 atributos por regra</a:t>
            </a:r>
            <a:endParaRPr lang="fr-FR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5252405949256"/>
          <c:y val="0.181030183727034"/>
          <c:w val="0.797053149606298"/>
          <c:h val="0.702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dispRSqr val="1"/>
            <c:dispEq val="1"/>
            <c:trendlineLbl>
              <c:layout>
                <c:manualLayout>
                  <c:x val="0.21961606201094"/>
                  <c:y val="-0.536907626130067"/>
                </c:manualLayout>
              </c:layout>
              <c:numFmt formatCode="General" sourceLinked="0"/>
            </c:trendlineLbl>
          </c:trendline>
          <c:xVal>
            <c:numRef>
              <c:f>Plan1!$A$8:$A$12</c:f>
              <c:numCache>
                <c:formatCode>General</c:formatCode>
                <c:ptCount val="5"/>
                <c:pt idx="0">
                  <c:v>1.0</c:v>
                </c:pt>
                <c:pt idx="1">
                  <c:v>2.0</c:v>
                </c:pt>
                <c:pt idx="2">
                  <c:v>4.0</c:v>
                </c:pt>
                <c:pt idx="3">
                  <c:v>8.0</c:v>
                </c:pt>
                <c:pt idx="4">
                  <c:v>16.0</c:v>
                </c:pt>
              </c:numCache>
            </c:numRef>
          </c:xVal>
          <c:yVal>
            <c:numRef>
              <c:f>Plan1!$D$8:$D$12</c:f>
              <c:numCache>
                <c:formatCode>#,##0</c:formatCode>
                <c:ptCount val="5"/>
                <c:pt idx="0">
                  <c:v>206.0</c:v>
                </c:pt>
                <c:pt idx="1">
                  <c:v>196.0</c:v>
                </c:pt>
                <c:pt idx="2">
                  <c:v>196.0</c:v>
                </c:pt>
                <c:pt idx="3">
                  <c:v>190.0</c:v>
                </c:pt>
                <c:pt idx="4">
                  <c:v>178.0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451888"/>
        <c:axId val="-2088449120"/>
      </c:scatterChart>
      <c:valAx>
        <c:axId val="-208845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449120"/>
        <c:crosses val="autoZero"/>
        <c:crossBetween val="midCat"/>
      </c:valAx>
      <c:valAx>
        <c:axId val="-2088449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2088451888"/>
        <c:crosses val="autoZero"/>
        <c:crossBetween val="midCat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87401575" l="0.511811024" r="0.511811024" t="0.787401575" header="0.31496062" footer="0.3149606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66675</xdr:rowOff>
    </xdr:from>
    <xdr:to>
      <xdr:col>7</xdr:col>
      <xdr:colOff>76200</xdr:colOff>
      <xdr:row>28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219075</xdr:colOff>
      <xdr:row>28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76200</xdr:colOff>
      <xdr:row>44</xdr:row>
      <xdr:rowOff>76200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66675</xdr:rowOff>
    </xdr:from>
    <xdr:to>
      <xdr:col>7</xdr:col>
      <xdr:colOff>76200</xdr:colOff>
      <xdr:row>27</xdr:row>
      <xdr:rowOff>142875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219075</xdr:colOff>
      <xdr:row>27</xdr:row>
      <xdr:rowOff>76200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76200</xdr:colOff>
      <xdr:row>43</xdr:row>
      <xdr:rowOff>76200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A6" workbookViewId="0">
      <selection activeCell="H10" sqref="H10"/>
    </sheetView>
  </sheetViews>
  <sheetFormatPr baseColWidth="10" defaultColWidth="8.83203125" defaultRowHeight="15" x14ac:dyDescent="0.2"/>
  <cols>
    <col min="1" max="1" width="15.1640625" bestFit="1" customWidth="1"/>
    <col min="2" max="2" width="14.6640625" bestFit="1" customWidth="1"/>
    <col min="3" max="3" width="8.83203125" bestFit="1" customWidth="1"/>
    <col min="4" max="4" width="8.83203125" style="3"/>
    <col min="5" max="5" width="8.83203125" style="2"/>
    <col min="6" max="6" width="8.83203125" style="3"/>
    <col min="7" max="7" width="8.83203125" style="2"/>
    <col min="8" max="8" width="8.83203125" style="3"/>
    <col min="9" max="9" width="8.83203125" style="2"/>
  </cols>
  <sheetData>
    <row r="1" spans="1:9" x14ac:dyDescent="0.2">
      <c r="A1" t="s">
        <v>0</v>
      </c>
      <c r="B1" s="1">
        <v>2798002</v>
      </c>
      <c r="C1" s="1"/>
    </row>
    <row r="2" spans="1:9" x14ac:dyDescent="0.2">
      <c r="B2">
        <v>6</v>
      </c>
      <c r="C2" t="s">
        <v>1</v>
      </c>
    </row>
    <row r="5" spans="1:9" x14ac:dyDescent="0.2">
      <c r="C5" s="4" t="s">
        <v>2</v>
      </c>
      <c r="D5" s="5" t="s">
        <v>3</v>
      </c>
      <c r="E5" s="5"/>
      <c r="F5" s="5"/>
      <c r="G5" s="5"/>
      <c r="H5" s="5"/>
    </row>
    <row r="6" spans="1:9" x14ac:dyDescent="0.2">
      <c r="C6" s="4"/>
      <c r="D6" s="5">
        <v>2</v>
      </c>
      <c r="E6" s="5"/>
      <c r="F6" s="5">
        <v>3</v>
      </c>
      <c r="G6" s="5"/>
      <c r="H6" s="5">
        <v>4</v>
      </c>
      <c r="I6" s="5"/>
    </row>
    <row r="7" spans="1:9" x14ac:dyDescent="0.2">
      <c r="C7" s="4"/>
      <c r="D7" s="3" t="s">
        <v>4</v>
      </c>
      <c r="E7" s="2" t="s">
        <v>5</v>
      </c>
      <c r="F7" s="3" t="s">
        <v>4</v>
      </c>
      <c r="G7" s="2" t="s">
        <v>5</v>
      </c>
      <c r="H7" s="3" t="s">
        <v>4</v>
      </c>
      <c r="I7" s="2" t="s">
        <v>5</v>
      </c>
    </row>
    <row r="8" spans="1:9" x14ac:dyDescent="0.2">
      <c r="A8">
        <v>1</v>
      </c>
      <c r="B8">
        <f>365*B2</f>
        <v>2190</v>
      </c>
      <c r="C8">
        <f>B8/$B$1</f>
        <v>7.8270137047793393E-4</v>
      </c>
      <c r="D8" s="3">
        <v>206</v>
      </c>
      <c r="E8" s="2">
        <v>1.5617741590187799</v>
      </c>
      <c r="F8" s="3">
        <v>13281</v>
      </c>
      <c r="G8" s="2">
        <v>1.79717361254469</v>
      </c>
      <c r="H8" s="3">
        <v>302768</v>
      </c>
      <c r="I8" s="2">
        <v>2.3822697292521799</v>
      </c>
    </row>
    <row r="9" spans="1:9" x14ac:dyDescent="0.2">
      <c r="A9">
        <v>2</v>
      </c>
      <c r="B9">
        <f>365*2*B2</f>
        <v>4380</v>
      </c>
      <c r="C9">
        <f t="shared" ref="C9:C13" si="0">B9/$B$1</f>
        <v>1.5654027409558679E-3</v>
      </c>
      <c r="D9" s="3">
        <v>196</v>
      </c>
      <c r="E9" s="2">
        <v>1.5617741590187799</v>
      </c>
      <c r="F9" s="3">
        <v>11837</v>
      </c>
      <c r="G9" s="2">
        <v>1.79717361254469</v>
      </c>
      <c r="H9" s="3">
        <v>181697</v>
      </c>
      <c r="I9" s="2">
        <v>2.1061084207962799</v>
      </c>
    </row>
    <row r="10" spans="1:9" x14ac:dyDescent="0.2">
      <c r="A10">
        <v>3</v>
      </c>
      <c r="B10">
        <f>365*A10*B2</f>
        <v>6570</v>
      </c>
      <c r="C10">
        <f t="shared" si="0"/>
        <v>2.3481041114338016E-3</v>
      </c>
      <c r="D10" s="3">
        <v>196</v>
      </c>
      <c r="E10" s="2">
        <v>1.5617741590187799</v>
      </c>
      <c r="F10" s="3">
        <v>10604</v>
      </c>
      <c r="G10" s="2">
        <v>1.79717361254469</v>
      </c>
      <c r="H10" s="3">
        <v>121985</v>
      </c>
      <c r="I10" s="2">
        <v>2.1061084207962799</v>
      </c>
    </row>
    <row r="11" spans="1:9" x14ac:dyDescent="0.2">
      <c r="A11">
        <v>4</v>
      </c>
      <c r="B11">
        <f>365*4*B2</f>
        <v>8760</v>
      </c>
      <c r="C11">
        <f t="shared" si="0"/>
        <v>3.1308054819117357E-3</v>
      </c>
      <c r="D11" s="3">
        <v>196</v>
      </c>
      <c r="E11" s="2">
        <v>1.5617741590187799</v>
      </c>
      <c r="F11" s="3">
        <v>9495</v>
      </c>
      <c r="G11" s="2">
        <v>1.7898312722602401</v>
      </c>
      <c r="H11" s="3">
        <v>87149</v>
      </c>
      <c r="I11" s="2">
        <v>2.1061084207962799</v>
      </c>
    </row>
    <row r="12" spans="1:9" x14ac:dyDescent="0.2">
      <c r="A12">
        <v>8</v>
      </c>
      <c r="B12">
        <f>365*8*B2</f>
        <v>17520</v>
      </c>
      <c r="C12">
        <f t="shared" si="0"/>
        <v>6.2616109638234715E-3</v>
      </c>
      <c r="D12" s="3">
        <v>190</v>
      </c>
      <c r="E12" s="2">
        <v>1.5617741590187799</v>
      </c>
      <c r="F12" s="3">
        <v>6012</v>
      </c>
      <c r="G12" s="2">
        <v>1.7898312722602401</v>
      </c>
      <c r="H12" s="3">
        <v>33104</v>
      </c>
      <c r="I12" s="2">
        <v>2.10365865508393</v>
      </c>
    </row>
    <row r="13" spans="1:9" x14ac:dyDescent="0.2">
      <c r="A13">
        <v>16</v>
      </c>
      <c r="B13">
        <f>365*16*B2</f>
        <v>35040</v>
      </c>
      <c r="C13">
        <f t="shared" si="0"/>
        <v>1.2523221927646943E-2</v>
      </c>
      <c r="D13" s="3">
        <v>178</v>
      </c>
      <c r="E13" s="2">
        <v>1.5617741590187799</v>
      </c>
      <c r="F13" s="3">
        <v>3151</v>
      </c>
      <c r="G13" s="2">
        <v>1.7898312722602401</v>
      </c>
      <c r="H13" s="3">
        <v>10133</v>
      </c>
      <c r="I13" s="2">
        <v>2.0642051135810999</v>
      </c>
    </row>
  </sheetData>
  <mergeCells count="5">
    <mergeCell ref="C5:C7"/>
    <mergeCell ref="D5:H5"/>
    <mergeCell ref="D6:E6"/>
    <mergeCell ref="F6:G6"/>
    <mergeCell ref="H6:I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N1" sqref="N1"/>
    </sheetView>
  </sheetViews>
  <sheetFormatPr baseColWidth="10" defaultColWidth="8.83203125" defaultRowHeight="15" x14ac:dyDescent="0.2"/>
  <cols>
    <col min="1" max="1" width="15.1640625" bestFit="1" customWidth="1"/>
    <col min="2" max="2" width="14.6640625" bestFit="1" customWidth="1"/>
    <col min="3" max="3" width="8.83203125" bestFit="1" customWidth="1"/>
    <col min="4" max="4" width="8.83203125" style="3"/>
    <col min="5" max="5" width="8.83203125" style="2"/>
    <col min="6" max="6" width="8.83203125" style="3"/>
    <col min="7" max="7" width="8.83203125" style="2"/>
    <col min="8" max="8" width="8.83203125" style="3"/>
    <col min="9" max="9" width="8.83203125" style="2"/>
  </cols>
  <sheetData>
    <row r="1" spans="1:9" x14ac:dyDescent="0.2">
      <c r="A1" t="s">
        <v>0</v>
      </c>
      <c r="B1" s="1">
        <v>2798002</v>
      </c>
      <c r="C1" s="1"/>
    </row>
    <row r="2" spans="1:9" x14ac:dyDescent="0.2">
      <c r="B2">
        <v>6</v>
      </c>
      <c r="C2" t="s">
        <v>1</v>
      </c>
    </row>
    <row r="5" spans="1:9" x14ac:dyDescent="0.2">
      <c r="C5" s="4" t="s">
        <v>2</v>
      </c>
      <c r="D5" s="5" t="s">
        <v>3</v>
      </c>
      <c r="E5" s="5"/>
      <c r="F5" s="5"/>
      <c r="G5" s="5"/>
      <c r="H5" s="5"/>
    </row>
    <row r="6" spans="1:9" x14ac:dyDescent="0.2">
      <c r="C6" s="4"/>
      <c r="D6" s="5">
        <v>2</v>
      </c>
      <c r="E6" s="5"/>
      <c r="F6" s="5">
        <v>3</v>
      </c>
      <c r="G6" s="5"/>
      <c r="H6" s="5">
        <v>4</v>
      </c>
      <c r="I6" s="5"/>
    </row>
    <row r="7" spans="1:9" x14ac:dyDescent="0.2">
      <c r="C7" s="4"/>
      <c r="D7" s="3" t="s">
        <v>4</v>
      </c>
      <c r="E7" s="2" t="s">
        <v>5</v>
      </c>
      <c r="F7" s="3" t="s">
        <v>4</v>
      </c>
      <c r="G7" s="2" t="s">
        <v>5</v>
      </c>
      <c r="H7" s="3" t="s">
        <v>4</v>
      </c>
      <c r="I7" s="2" t="s">
        <v>5</v>
      </c>
    </row>
    <row r="8" spans="1:9" x14ac:dyDescent="0.2">
      <c r="A8">
        <v>1</v>
      </c>
      <c r="B8">
        <f>365*B2</f>
        <v>2190</v>
      </c>
      <c r="C8">
        <f>B8/$B$1</f>
        <v>7.8270137047793393E-4</v>
      </c>
      <c r="D8" s="3">
        <v>206</v>
      </c>
      <c r="E8" s="2">
        <v>1.5617741590187799</v>
      </c>
      <c r="F8" s="3">
        <v>13281</v>
      </c>
      <c r="G8" s="2">
        <v>1.79717361254469</v>
      </c>
      <c r="H8" s="3">
        <v>302768</v>
      </c>
      <c r="I8" s="2">
        <v>2.3822697292521799</v>
      </c>
    </row>
    <row r="9" spans="1:9" x14ac:dyDescent="0.2">
      <c r="A9">
        <v>2</v>
      </c>
      <c r="B9">
        <f>365*2*B2</f>
        <v>4380</v>
      </c>
      <c r="C9">
        <f t="shared" ref="C9:C12" si="0">B9/$B$1</f>
        <v>1.5654027409558679E-3</v>
      </c>
      <c r="D9" s="3">
        <v>196</v>
      </c>
      <c r="E9" s="2">
        <v>1.5617741590187799</v>
      </c>
      <c r="F9" s="3">
        <v>11837</v>
      </c>
      <c r="G9" s="2">
        <v>1.79717361254469</v>
      </c>
      <c r="H9" s="3">
        <v>181697</v>
      </c>
      <c r="I9" s="2">
        <v>2.1061084207962799</v>
      </c>
    </row>
    <row r="10" spans="1:9" x14ac:dyDescent="0.2">
      <c r="A10">
        <v>4</v>
      </c>
      <c r="B10">
        <f>365*4*B2</f>
        <v>8760</v>
      </c>
      <c r="C10">
        <f t="shared" si="0"/>
        <v>3.1308054819117357E-3</v>
      </c>
      <c r="D10" s="3">
        <v>196</v>
      </c>
      <c r="E10" s="2">
        <v>1.5617741590187799</v>
      </c>
      <c r="F10" s="3">
        <v>9495</v>
      </c>
      <c r="G10" s="2">
        <v>1.7898312722602401</v>
      </c>
      <c r="H10" s="3">
        <v>87149</v>
      </c>
      <c r="I10" s="2">
        <v>2.1061084207962799</v>
      </c>
    </row>
    <row r="11" spans="1:9" x14ac:dyDescent="0.2">
      <c r="A11">
        <v>8</v>
      </c>
      <c r="B11">
        <f>365*8*B2</f>
        <v>17520</v>
      </c>
      <c r="C11">
        <f t="shared" si="0"/>
        <v>6.2616109638234715E-3</v>
      </c>
      <c r="D11" s="3">
        <v>190</v>
      </c>
      <c r="E11" s="2">
        <v>1.5617741590187799</v>
      </c>
      <c r="F11" s="3">
        <v>6012</v>
      </c>
      <c r="G11" s="2">
        <v>1.7898312722602401</v>
      </c>
      <c r="H11" s="3">
        <v>33104</v>
      </c>
      <c r="I11" s="2">
        <v>2.10365865508393</v>
      </c>
    </row>
    <row r="12" spans="1:9" x14ac:dyDescent="0.2">
      <c r="A12">
        <v>16</v>
      </c>
      <c r="B12">
        <f>365*16*B2</f>
        <v>35040</v>
      </c>
      <c r="C12">
        <f t="shared" si="0"/>
        <v>1.2523221927646943E-2</v>
      </c>
      <c r="D12" s="3">
        <v>178</v>
      </c>
      <c r="E12" s="2">
        <v>1.5617741590187799</v>
      </c>
      <c r="F12" s="3">
        <v>3151</v>
      </c>
      <c r="G12" s="2">
        <v>1.7898312722602401</v>
      </c>
      <c r="H12" s="3">
        <v>10133</v>
      </c>
      <c r="I12" s="2">
        <v>2.0642051135810999</v>
      </c>
    </row>
  </sheetData>
  <mergeCells count="5">
    <mergeCell ref="D5:H5"/>
    <mergeCell ref="C5:C7"/>
    <mergeCell ref="D6:E6"/>
    <mergeCell ref="F6:G6"/>
    <mergeCell ref="H6:I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Plan1 (2)</vt:lpstr>
      <vt:lpstr>Plan1</vt:lpstr>
      <vt:lpstr>Plan2</vt:lpstr>
      <vt:lpstr>Plan3</vt:lpstr>
      <vt:lpstr>Plan4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Microsoft Office User</cp:lastModifiedBy>
  <dcterms:created xsi:type="dcterms:W3CDTF">2015-11-15T16:19:15Z</dcterms:created>
  <dcterms:modified xsi:type="dcterms:W3CDTF">2015-12-16T12:21:51Z</dcterms:modified>
</cp:coreProperties>
</file>